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63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1"/>
      <scheme val="minor"/>
    </font>
    <font>
      <name val="Calibri"/>
      <sz val="11"/>
    </font>
    <font>
      <name val="Calibri"/>
      <b val="1"/>
      <color rgb="FF000000"/>
      <sz val="11"/>
    </font>
    <font>
      <name val="Calibri"/>
      <color rgb="FF000000"/>
      <sz val="11"/>
    </font>
    <font>
      <name val="Times New Roman"/>
      <b val="1"/>
      <color rgb="FF000000"/>
      <sz val="12"/>
    </font>
    <font>
      <name val="Times New Roman"/>
      <b val="1"/>
      <i val="1"/>
      <color rgb="FF000000"/>
      <sz val="12"/>
    </font>
    <font>
      <name val="Times New Roman"/>
      <color rgb="FF000000"/>
      <sz val="12"/>
    </font>
    <font>
      <name val="Calibri"/>
      <b val="1"/>
      <color rgb="FF980000"/>
      <sz val="20"/>
      <scheme val="minor"/>
    </font>
    <font>
      <name val="Calibri"/>
      <family val="2"/>
      <color rgb="FF000000"/>
      <sz val="20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000000"/>
      <sz val="11"/>
    </font>
    <font>
      <name val="Times New Roman"/>
      <family val="1"/>
      <b val="1"/>
      <color rgb="FF000000"/>
      <sz val="12"/>
    </font>
    <font>
      <name val="Times New Roman"/>
      <family val="1"/>
      <b val="1"/>
      <i val="1"/>
      <color rgb="FF000000"/>
      <sz val="12"/>
    </font>
    <font>
      <name val="Times New Roman"/>
      <i val="1"/>
      <sz val="10"/>
    </font>
  </fonts>
  <fills count="6">
    <fill>
      <patternFill/>
    </fill>
    <fill>
      <patternFill patternType="gray125"/>
    </fill>
    <fill>
      <patternFill patternType="solid">
        <fgColor rgb="FF4BACC6"/>
        <bgColor rgb="FF4BACC6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BBB59"/>
        <bgColor rgb="FF9BBB59"/>
      </patternFill>
    </fill>
  </fills>
  <borders count="33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double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double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medium">
        <color rgb="FF000000"/>
      </bottom>
      <diagonal/>
    </border>
    <border>
      <left/>
      <right style="double">
        <color rgb="FF000000"/>
      </right>
      <top style="thick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ck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4" fillId="0" borderId="3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top" wrapText="1"/>
    </xf>
    <xf numFmtId="2" fontId="6" fillId="0" borderId="11" applyAlignment="1" pivotButton="0" quotePrefix="0" xfId="0">
      <alignment horizontal="center" vertical="top" wrapText="1"/>
    </xf>
    <xf numFmtId="0" fontId="7" fillId="0" borderId="0" pivotButton="0" quotePrefix="0" xfId="0"/>
    <xf numFmtId="0" fontId="5" fillId="5" borderId="13" applyAlignment="1" pivotButton="0" quotePrefix="0" xfId="0">
      <alignment horizontal="center" vertical="top" wrapText="1"/>
    </xf>
    <xf numFmtId="0" fontId="4" fillId="5" borderId="14" applyAlignment="1" pivotButton="0" quotePrefix="0" xfId="0">
      <alignment horizontal="center" vertical="top" wrapText="1"/>
    </xf>
    <xf numFmtId="0" fontId="4" fillId="0" borderId="15" applyAlignment="1" pivotButton="0" quotePrefix="0" xfId="0">
      <alignment horizontal="center" vertical="top" wrapText="1"/>
    </xf>
    <xf numFmtId="2" fontId="6" fillId="5" borderId="16" applyAlignment="1" pivotButton="0" quotePrefix="0" xfId="0">
      <alignment horizontal="center" vertical="top" wrapText="1"/>
    </xf>
    <xf numFmtId="2" fontId="6" fillId="5" borderId="17" applyAlignment="1" pivotButton="0" quotePrefix="0" xfId="0">
      <alignment horizontal="center" vertical="top" wrapText="1"/>
    </xf>
    <xf numFmtId="0" fontId="4" fillId="0" borderId="18" applyAlignment="1" pivotButton="0" quotePrefix="0" xfId="0">
      <alignment horizontal="center" vertical="top" wrapText="1"/>
    </xf>
    <xf numFmtId="2" fontId="6" fillId="0" borderId="19" applyAlignment="1" pivotButton="0" quotePrefix="0" xfId="0">
      <alignment horizontal="center" vertical="top" wrapText="1"/>
    </xf>
    <xf numFmtId="0" fontId="12" fillId="0" borderId="9" applyAlignment="1" pivotButton="0" quotePrefix="0" xfId="0">
      <alignment horizontal="center" vertical="top" wrapText="1"/>
    </xf>
    <xf numFmtId="0" fontId="2" fillId="3" borderId="20" applyAlignment="1" pivotButton="0" quotePrefix="0" xfId="0">
      <alignment horizontal="left" vertical="center"/>
    </xf>
    <xf numFmtId="0" fontId="3" fillId="3" borderId="20" applyAlignment="1" pivotButton="0" quotePrefix="0" xfId="0">
      <alignment horizontal="right" vertical="center"/>
    </xf>
    <xf numFmtId="0" fontId="4" fillId="0" borderId="20" applyAlignment="1" pivotButton="0" quotePrefix="0" xfId="0">
      <alignment horizontal="center" vertical="top" wrapText="1"/>
    </xf>
    <xf numFmtId="0" fontId="5" fillId="0" borderId="20" applyAlignment="1" pivotButton="0" quotePrefix="0" xfId="0">
      <alignment horizontal="center" vertical="top" wrapText="1"/>
    </xf>
    <xf numFmtId="2" fontId="6" fillId="4" borderId="20" applyAlignment="1" pivotButton="0" quotePrefix="0" xfId="0">
      <alignment horizontal="center" vertical="top" wrapText="1"/>
    </xf>
    <xf numFmtId="10" fontId="6" fillId="0" borderId="20" applyAlignment="1" pivotButton="0" quotePrefix="0" xfId="0">
      <alignment horizontal="center" vertical="top" wrapText="1"/>
    </xf>
    <xf numFmtId="2" fontId="6" fillId="0" borderId="20" applyAlignment="1" pivotButton="0" quotePrefix="0" xfId="0">
      <alignment horizontal="center" vertical="top" wrapText="1"/>
    </xf>
    <xf numFmtId="0" fontId="9" fillId="0" borderId="0" pivotButton="0" quotePrefix="0" xfId="0"/>
    <xf numFmtId="0" fontId="0" fillId="0" borderId="0" pivotButton="0" quotePrefix="0" xfId="0"/>
    <xf numFmtId="0" fontId="10" fillId="3" borderId="20" applyAlignment="1" pivotButton="0" quotePrefix="0" xfId="0">
      <alignment horizontal="left" vertical="center" wrapText="1"/>
    </xf>
    <xf numFmtId="0" fontId="1" fillId="0" borderId="20" pivotButton="0" quotePrefix="0" xfId="0"/>
    <xf numFmtId="0" fontId="3" fillId="3" borderId="20" applyAlignment="1" pivotButton="0" quotePrefix="0" xfId="0">
      <alignment horizontal="right" vertical="center"/>
    </xf>
    <xf numFmtId="0" fontId="4" fillId="0" borderId="20" applyAlignment="1" pivotButton="0" quotePrefix="0" xfId="0">
      <alignment horizontal="center" vertical="top" wrapText="1"/>
    </xf>
    <xf numFmtId="0" fontId="11" fillId="0" borderId="6" applyAlignment="1" pivotButton="0" quotePrefix="0" xfId="0">
      <alignment horizontal="center" vertical="top" wrapText="1"/>
    </xf>
    <xf numFmtId="0" fontId="1" fillId="0" borderId="7" pivotButton="0" quotePrefix="0" xfId="0"/>
    <xf numFmtId="0" fontId="8" fillId="2" borderId="2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1" fillId="0" borderId="2" pivotButton="0" quotePrefix="0" xfId="0"/>
    <xf numFmtId="0" fontId="11" fillId="0" borderId="4" applyAlignment="1" pivotButton="0" quotePrefix="0" xfId="0">
      <alignment horizontal="center" vertical="top" wrapText="1"/>
    </xf>
    <xf numFmtId="0" fontId="1" fillId="0" borderId="5" pivotButton="0" quotePrefix="0" xfId="0"/>
    <xf numFmtId="0" fontId="11" fillId="0" borderId="8" applyAlignment="1" pivotButton="0" quotePrefix="0" xfId="0">
      <alignment horizontal="center" vertical="top" wrapText="1"/>
    </xf>
    <xf numFmtId="0" fontId="4" fillId="5" borderId="4" applyAlignment="1" pivotButton="0" quotePrefix="0" xfId="0">
      <alignment horizontal="center" vertical="top" wrapText="1"/>
    </xf>
    <xf numFmtId="0" fontId="1" fillId="0" borderId="12" pivotButton="0" quotePrefix="0" xfId="0"/>
    <xf numFmtId="0" fontId="11" fillId="0" borderId="15" applyAlignment="1" pivotButton="0" quotePrefix="0" xfId="0">
      <alignment horizontal="center" vertical="top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6" pivotButton="0" quotePrefix="0" xfId="0"/>
    <xf numFmtId="0" fontId="6" fillId="0" borderId="2" applyAlignment="1" pivotButton="0" quotePrefix="0" xfId="0">
      <alignment horizontal="center" vertical="top" wrapText="1"/>
    </xf>
    <xf numFmtId="0" fontId="11" fillId="0" borderId="30" applyAlignment="1" pivotButton="0" quotePrefix="0" xfId="0">
      <alignment horizontal="center" vertical="top" wrapText="1"/>
    </xf>
    <xf numFmtId="0" fontId="0" fillId="0" borderId="5" pivotButton="0" quotePrefix="0" xfId="0"/>
    <xf numFmtId="0" fontId="0" fillId="0" borderId="7" pivotButton="0" quotePrefix="0" xfId="0"/>
    <xf numFmtId="0" fontId="11" fillId="0" borderId="32" applyAlignment="1" pivotButton="0" quotePrefix="0" xfId="0">
      <alignment horizontal="center" vertical="top" wrapText="1"/>
    </xf>
    <xf numFmtId="0" fontId="4" fillId="5" borderId="28" applyAlignment="1" pivotButton="0" quotePrefix="0" xfId="0">
      <alignment horizontal="center" vertical="top" wrapText="1"/>
    </xf>
    <xf numFmtId="0" fontId="0" fillId="0" borderId="12" pivotButton="0" quotePrefix="0" xfId="0"/>
    <xf numFmtId="0" fontId="0" fillId="0" borderId="2" pivotButton="0" quotePrefix="0" xfId="0"/>
    <xf numFmtId="0" fontId="12" fillId="0" borderId="13" applyAlignment="1" pivotButton="0" quotePrefix="0" xfId="0">
      <alignment horizontal="center" vertical="top" wrapText="1"/>
    </xf>
    <xf numFmtId="10" fontId="6" fillId="0" borderId="11" applyAlignment="1" pivotButton="0" quotePrefix="0" xfId="0">
      <alignment horizontal="center" vertical="top" wrapText="1"/>
    </xf>
    <xf numFmtId="10" fontId="6" fillId="5" borderId="16" applyAlignment="1" pivotButton="0" quotePrefix="0" xfId="0">
      <alignment horizontal="center" vertical="top" wrapText="1"/>
    </xf>
    <xf numFmtId="10" fontId="6" fillId="0" borderId="19" applyAlignment="1" pivotButton="0" quotePrefix="0" xfId="0">
      <alignment horizontal="center" vertical="top" wrapText="1"/>
    </xf>
    <xf numFmtId="0" fontId="1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6.83203125" customWidth="1" style="21" min="1" max="1"/>
    <col width="10.1640625" customWidth="1" style="21" min="2" max="2"/>
    <col width="8.6640625" customWidth="1" style="21" min="3" max="3"/>
    <col width="10.1640625" customWidth="1" style="21" min="4" max="4"/>
    <col width="8.6640625" customWidth="1" style="21" min="5" max="5"/>
    <col width="10.1640625" customWidth="1" style="21" min="6" max="6"/>
    <col width="8.6640625" customWidth="1" style="21" min="7" max="7"/>
    <col width="10.1640625" customWidth="1" style="21" min="8" max="8"/>
    <col width="8.6640625" customWidth="1" style="21" min="9" max="9"/>
    <col width="10.1640625" customWidth="1" style="21" min="10" max="10"/>
    <col width="8.6640625" customWidth="1" style="21" min="11" max="11"/>
    <col width="10.5" customWidth="1" style="21" min="12" max="12"/>
    <col width="10.5" customWidth="1" style="21" min="13" max="13"/>
  </cols>
  <sheetData>
    <row r="1" ht="24" customHeight="1" s="21">
      <c r="B1" s="20" t="inlineStr">
        <is>
          <t>A280</t>
        </is>
      </c>
      <c r="D1" s="20" t="inlineStr">
        <is>
          <t>CH130</t>
        </is>
      </c>
      <c r="F1" s="20" t="inlineStr">
        <is>
          <t>D18512</t>
        </is>
      </c>
      <c r="H1" s="20" t="inlineStr">
        <is>
          <t>PR144</t>
        </is>
      </c>
      <c r="J1" s="20" t="inlineStr">
        <is>
          <t>U1060</t>
        </is>
      </c>
    </row>
    <row r="2" ht="13.5" customHeight="1" s="21">
      <c r="A2" s="28" t="inlineStr">
        <is>
          <t>Greedy</t>
        </is>
      </c>
      <c r="B2" s="13" t="inlineStr">
        <is>
          <t>Tamaño</t>
        </is>
      </c>
      <c r="C2" s="24" t="n">
        <v>280</v>
      </c>
      <c r="D2" s="13" t="inlineStr">
        <is>
          <t>Tamaño</t>
        </is>
      </c>
      <c r="E2" s="24" t="n">
        <v>130</v>
      </c>
      <c r="F2" s="13" t="inlineStr">
        <is>
          <t>Tamaño</t>
        </is>
      </c>
      <c r="G2" s="24" t="n">
        <v>18512</v>
      </c>
      <c r="H2" s="13" t="inlineStr">
        <is>
          <t>Tamaño</t>
        </is>
      </c>
      <c r="I2" s="24" t="n">
        <v>144</v>
      </c>
      <c r="J2" s="13" t="inlineStr">
        <is>
          <t>Tamaño</t>
        </is>
      </c>
      <c r="K2" s="24" t="n">
        <v>1060</v>
      </c>
    </row>
    <row r="3" ht="15" customHeight="1" s="21">
      <c r="A3" s="37" t="n"/>
      <c r="B3" s="22" t="inlineStr">
        <is>
          <t>Mínimo encontrado</t>
        </is>
      </c>
      <c r="C3" s="24" t="n">
        <v>2579</v>
      </c>
      <c r="D3" s="22" t="inlineStr">
        <is>
          <t>Mínimo encontrado</t>
        </is>
      </c>
      <c r="E3" s="24" t="n">
        <v>6110</v>
      </c>
      <c r="F3" s="22" t="inlineStr">
        <is>
          <t>Mínimo encontrado</t>
        </is>
      </c>
      <c r="G3" s="24" t="n">
        <v>645238</v>
      </c>
      <c r="H3" s="22" t="inlineStr">
        <is>
          <t>Mínimo encontrado</t>
        </is>
      </c>
      <c r="I3" s="24" t="n">
        <v>58537</v>
      </c>
      <c r="J3" s="22" t="inlineStr">
        <is>
          <t>Mínimo encontrado</t>
        </is>
      </c>
      <c r="K3" s="24" t="n">
        <v>224094</v>
      </c>
    </row>
    <row r="4">
      <c r="A4" s="37" t="n"/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</row>
    <row r="5" ht="16.5" customHeight="1" s="21">
      <c r="A5" s="37" t="n"/>
      <c r="B5" s="25" t="n"/>
      <c r="C5" s="39" t="n"/>
      <c r="D5" s="25" t="n"/>
      <c r="E5" s="39" t="n"/>
      <c r="F5" s="25" t="n"/>
      <c r="G5" s="39" t="n"/>
      <c r="H5" s="25" t="n"/>
      <c r="I5" s="39" t="n"/>
      <c r="J5" s="25" t="n"/>
      <c r="K5" s="39" t="n"/>
    </row>
    <row r="6" ht="17" customHeight="1" s="21">
      <c r="A6" s="38" t="n"/>
      <c r="B6" s="16" t="inlineStr">
        <is>
          <t>Sol</t>
        </is>
      </c>
      <c r="C6" s="25" t="inlineStr">
        <is>
          <t>Time</t>
        </is>
      </c>
      <c r="D6" s="16" t="inlineStr">
        <is>
          <t>Sol</t>
        </is>
      </c>
      <c r="E6" s="25" t="inlineStr">
        <is>
          <t>Time</t>
        </is>
      </c>
      <c r="F6" s="16" t="inlineStr">
        <is>
          <t>Sol</t>
        </is>
      </c>
      <c r="G6" s="25" t="inlineStr">
        <is>
          <t>Time</t>
        </is>
      </c>
      <c r="H6" s="16" t="inlineStr">
        <is>
          <t>Sol</t>
        </is>
      </c>
      <c r="I6" s="25" t="inlineStr">
        <is>
          <t>Time</t>
        </is>
      </c>
      <c r="J6" s="16" t="inlineStr">
        <is>
          <t>Sol</t>
        </is>
      </c>
      <c r="K6" s="25" t="inlineStr">
        <is>
          <t>Time</t>
        </is>
      </c>
    </row>
    <row r="7" ht="17" customHeight="1" s="21">
      <c r="A7" s="25" t="inlineStr">
        <is>
          <t>Ejecución 1</t>
        </is>
      </c>
      <c r="B7" s="17" t="n">
        <v>30296.82</v>
      </c>
      <c r="C7" s="17" t="n">
        <v>17.8906</v>
      </c>
      <c r="D7" s="17" t="n">
        <v>40397.47</v>
      </c>
      <c r="E7" s="17" t="n">
        <v>0.6224</v>
      </c>
      <c r="F7" s="17" t="n">
        <v>51161687.81</v>
      </c>
      <c r="G7" s="17" t="n">
        <v>425.7528</v>
      </c>
      <c r="H7" s="17" t="n">
        <v>640770.88</v>
      </c>
      <c r="I7" s="17" t="n">
        <v>0.2588</v>
      </c>
      <c r="J7" s="17" t="n">
        <v>5670064.49</v>
      </c>
      <c r="K7" s="17" t="n">
        <v>2.1734</v>
      </c>
    </row>
    <row r="8" ht="17" customHeight="1" s="21">
      <c r="A8" s="25" t="inlineStr">
        <is>
          <t>Media</t>
        </is>
      </c>
      <c r="B8" s="18">
        <f>AVERAGE((B7-C$3)/C$3)</f>
        <v/>
      </c>
      <c r="C8" s="19">
        <f>AVERAGE(C7:C7)</f>
        <v/>
      </c>
      <c r="D8" s="18">
        <f>AVERAGE((D7-E$3)/E$3)</f>
        <v/>
      </c>
      <c r="E8" s="19">
        <f>AVERAGE(E7:E7)</f>
        <v/>
      </c>
      <c r="F8" s="18">
        <f>AVERAGE((F7-G$3)/G$3)</f>
        <v/>
      </c>
      <c r="G8" s="19">
        <f>AVERAGE(G7:G7)</f>
        <v/>
      </c>
      <c r="H8" s="18">
        <f>AVERAGE((H7-I$3)/I$3)</f>
        <v/>
      </c>
      <c r="I8" s="19">
        <f>AVERAGE(I7:I7)</f>
        <v/>
      </c>
      <c r="J8" s="18">
        <f>AVERAGE((J7-K$3)/K$3)</f>
        <v/>
      </c>
      <c r="K8" s="19">
        <f>AVERAGE(K7:K7)</f>
        <v/>
      </c>
    </row>
    <row r="9" ht="17" customHeight="1" s="21">
      <c r="A9" s="25" t="inlineStr">
        <is>
          <t>Desv. típica</t>
        </is>
      </c>
      <c r="B9" s="19" t="inlineStr">
        <is>
          <t>—</t>
        </is>
      </c>
      <c r="C9" s="19" t="inlineStr">
        <is>
          <t>—</t>
        </is>
      </c>
      <c r="D9" s="19" t="inlineStr">
        <is>
          <t>—</t>
        </is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19" t="inlineStr">
        <is>
          <t>—</t>
        </is>
      </c>
      <c r="I9" s="19" t="inlineStr">
        <is>
          <t>—</t>
        </is>
      </c>
      <c r="J9" s="19" t="inlineStr">
        <is>
          <t>—</t>
        </is>
      </c>
      <c r="K9" s="19" t="inlineStr">
        <is>
          <t>—</t>
        </is>
      </c>
    </row>
    <row r="11" ht="24" customHeight="1" s="21">
      <c r="B11" s="20" t="inlineStr">
        <is>
          <t>A280</t>
        </is>
      </c>
      <c r="D11" s="20" t="inlineStr">
        <is>
          <t>CH130</t>
        </is>
      </c>
      <c r="F11" s="20" t="inlineStr">
        <is>
          <t>D18512</t>
        </is>
      </c>
      <c r="H11" s="20" t="inlineStr">
        <is>
          <t>PR144</t>
        </is>
      </c>
      <c r="J11" s="20" t="inlineStr">
        <is>
          <t>U1060</t>
        </is>
      </c>
    </row>
    <row r="12" ht="13.5" customHeight="1" s="21">
      <c r="A12" s="28" t="inlineStr">
        <is>
          <t>Greedy Aleatorio</t>
        </is>
      </c>
      <c r="B12" s="13" t="inlineStr">
        <is>
          <t>Tamaño</t>
        </is>
      </c>
      <c r="C12" s="24" t="n">
        <v>280</v>
      </c>
      <c r="D12" s="13" t="inlineStr">
        <is>
          <t>Tamaño</t>
        </is>
      </c>
      <c r="E12" s="24" t="n">
        <v>130</v>
      </c>
      <c r="F12" s="13" t="inlineStr">
        <is>
          <t>Tamaño</t>
        </is>
      </c>
      <c r="G12" s="24" t="n">
        <v>18512</v>
      </c>
      <c r="H12" s="13" t="inlineStr">
        <is>
          <t>Tamaño</t>
        </is>
      </c>
      <c r="I12" s="24" t="n">
        <v>144</v>
      </c>
      <c r="J12" s="13" t="inlineStr">
        <is>
          <t>Tamaño</t>
        </is>
      </c>
      <c r="K12" s="24" t="n">
        <v>1060</v>
      </c>
    </row>
    <row r="13" ht="15" customHeight="1" s="21">
      <c r="A13" s="37" t="n"/>
      <c r="B13" s="22" t="inlineStr">
        <is>
          <t>Mínimo encontrado</t>
        </is>
      </c>
      <c r="C13" s="24" t="n">
        <v>2579</v>
      </c>
      <c r="D13" s="22" t="inlineStr">
        <is>
          <t>Mínimo encontrado</t>
        </is>
      </c>
      <c r="E13" s="24" t="n">
        <v>6110</v>
      </c>
      <c r="F13" s="22" t="inlineStr">
        <is>
          <t>Mínimo encontrado</t>
        </is>
      </c>
      <c r="G13" s="24" t="n">
        <v>645238</v>
      </c>
      <c r="H13" s="22" t="inlineStr">
        <is>
          <t>Mínimo encontrado</t>
        </is>
      </c>
      <c r="I13" s="24" t="n">
        <v>58537</v>
      </c>
      <c r="J13" s="22" t="inlineStr">
        <is>
          <t>Mínimo encontrado</t>
        </is>
      </c>
      <c r="K13" s="24" t="n">
        <v>224094</v>
      </c>
    </row>
    <row r="14">
      <c r="A14" s="37" t="n"/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</row>
    <row r="15" ht="16.5" customHeight="1" s="21">
      <c r="A15" s="37" t="n"/>
      <c r="B15" s="25" t="n"/>
      <c r="C15" s="39" t="n"/>
      <c r="D15" s="25" t="n"/>
      <c r="E15" s="39" t="n"/>
      <c r="F15" s="25" t="n"/>
      <c r="G15" s="39" t="n"/>
      <c r="H15" s="25" t="n"/>
      <c r="I15" s="39" t="n"/>
      <c r="J15" s="25" t="n"/>
      <c r="K15" s="39" t="n"/>
    </row>
    <row r="16" ht="17" customHeight="1" s="21">
      <c r="A16" s="38" t="n"/>
      <c r="B16" s="16" t="inlineStr">
        <is>
          <t>Sol</t>
        </is>
      </c>
      <c r="C16" s="25" t="inlineStr">
        <is>
          <t>Time</t>
        </is>
      </c>
      <c r="D16" s="16" t="inlineStr">
        <is>
          <t>Sol</t>
        </is>
      </c>
      <c r="E16" s="25" t="inlineStr">
        <is>
          <t>Time</t>
        </is>
      </c>
      <c r="F16" s="16" t="inlineStr">
        <is>
          <t>Sol</t>
        </is>
      </c>
      <c r="G16" s="25" t="inlineStr">
        <is>
          <t>Time</t>
        </is>
      </c>
      <c r="H16" s="16" t="inlineStr">
        <is>
          <t>Sol</t>
        </is>
      </c>
      <c r="I16" s="25" t="inlineStr">
        <is>
          <t>Time</t>
        </is>
      </c>
      <c r="J16" s="16" t="inlineStr">
        <is>
          <t>Sol</t>
        </is>
      </c>
      <c r="K16" s="25" t="inlineStr">
        <is>
          <t>Time</t>
        </is>
      </c>
    </row>
    <row r="17" ht="17" customHeight="1" s="21">
      <c r="A17" s="25" t="inlineStr">
        <is>
          <t>Ejecución 1</t>
        </is>
      </c>
      <c r="B17" s="17" t="n">
        <v>30277.62</v>
      </c>
      <c r="C17" s="17" t="n">
        <v>7.6008</v>
      </c>
      <c r="D17" s="17" t="n">
        <v>44669.51</v>
      </c>
      <c r="E17" s="17" t="n">
        <v>0.6645</v>
      </c>
      <c r="F17" s="17" t="n">
        <v>51435366.98</v>
      </c>
      <c r="G17" s="17" t="n">
        <v>423.0059</v>
      </c>
      <c r="H17" s="17" t="n">
        <v>676433.85</v>
      </c>
      <c r="I17" s="17" t="n">
        <v>0.1974</v>
      </c>
      <c r="J17" s="17" t="n">
        <v>5496158.64</v>
      </c>
      <c r="K17" s="17" t="n">
        <v>1.9907</v>
      </c>
    </row>
    <row r="18" ht="17" customHeight="1" s="21">
      <c r="A18" s="25" t="inlineStr">
        <is>
          <t>Ejecución 2</t>
        </is>
      </c>
      <c r="B18" s="17" t="n">
        <v>29955.8</v>
      </c>
      <c r="C18" s="17" t="n">
        <v>6.0968</v>
      </c>
      <c r="D18" s="17" t="n">
        <v>45344.45</v>
      </c>
      <c r="E18" s="17" t="n">
        <v>0.6871</v>
      </c>
      <c r="F18" s="17" t="n">
        <v>51155822.34</v>
      </c>
      <c r="G18" s="17" t="n">
        <v>417.651</v>
      </c>
      <c r="H18" s="17" t="n">
        <v>645750.02</v>
      </c>
      <c r="I18" s="17" t="n">
        <v>0.1605</v>
      </c>
      <c r="J18" s="17" t="n">
        <v>5741888.67</v>
      </c>
      <c r="K18" s="17" t="n">
        <v>1.9324</v>
      </c>
    </row>
    <row r="19" ht="17" customHeight="1" s="21">
      <c r="A19" s="25" t="inlineStr">
        <is>
          <t>Ejecución 3</t>
        </is>
      </c>
      <c r="B19" s="17" t="n">
        <v>28611.37</v>
      </c>
      <c r="C19" s="17" t="n">
        <v>3.4138</v>
      </c>
      <c r="D19" s="17" t="n">
        <v>42520.63</v>
      </c>
      <c r="E19" s="17" t="n">
        <v>0.6219</v>
      </c>
      <c r="F19" s="17" t="n">
        <v>51534243.54</v>
      </c>
      <c r="G19" s="17" t="n">
        <v>437.0264</v>
      </c>
      <c r="H19" s="17" t="n">
        <v>692159.74</v>
      </c>
      <c r="I19" s="17" t="n">
        <v>0.1783</v>
      </c>
      <c r="J19" s="17" t="n">
        <v>5549533.87</v>
      </c>
      <c r="K19" s="17" t="n">
        <v>1.9497</v>
      </c>
    </row>
    <row r="20" ht="17" customHeight="1" s="21">
      <c r="A20" s="25" t="inlineStr">
        <is>
          <t>Media</t>
        </is>
      </c>
      <c r="B20" s="18">
        <f>AVERAGE((B17-C$13)/C$13,(B18-C$13)/C$13,(B19-C$13)/C$13)</f>
        <v/>
      </c>
      <c r="C20" s="19">
        <f>AVERAGE(C17:C19)</f>
        <v/>
      </c>
      <c r="D20" s="18">
        <f>AVERAGE((D17-E$13)/E$13,(D18-E$13)/E$13,(D19-E$13)/E$13)</f>
        <v/>
      </c>
      <c r="E20" s="19">
        <f>AVERAGE(E17:E19)</f>
        <v/>
      </c>
      <c r="F20" s="18">
        <f>AVERAGE((F17-G$13)/G$13,(F18-G$13)/G$13,(F19-G$13)/G$13)</f>
        <v/>
      </c>
      <c r="G20" s="19">
        <f>AVERAGE(G17:G19)</f>
        <v/>
      </c>
      <c r="H20" s="18">
        <f>AVERAGE((H17-I$13)/I$13,(H18-I$13)/I$13,(H19-I$13)/I$13)</f>
        <v/>
      </c>
      <c r="I20" s="19">
        <f>AVERAGE(I17:I19)</f>
        <v/>
      </c>
      <c r="J20" s="18">
        <f>AVERAGE((J17-K$13)/K$13,(J18-K$13)/K$13,(J19-K$13)/K$13)</f>
        <v/>
      </c>
      <c r="K20" s="19">
        <f>AVERAGE(K17:K19)</f>
        <v/>
      </c>
    </row>
    <row r="21" ht="17" customHeight="1" s="21">
      <c r="A21" s="25" t="inlineStr">
        <is>
          <t>Desv. típica</t>
        </is>
      </c>
      <c r="B21" s="19">
        <f>STDEV((B17-C$13)/C$13,(B18-C$13)/C$13,(B19-C$13)/C$13)</f>
        <v/>
      </c>
      <c r="C21" s="19">
        <f>STDEV(C17:C19)</f>
        <v/>
      </c>
      <c r="D21" s="19">
        <f>STDEV((D17-E$13)/E$13,(D18-E$13)/E$13,(D19-E$13)/E$13)</f>
        <v/>
      </c>
      <c r="E21" s="19">
        <f>STDEV(E17:E19)</f>
        <v/>
      </c>
      <c r="F21" s="19">
        <f>STDEV((F17-G$13)/G$13,(F18-G$13)/G$13,(F19-G$13)/G$13)</f>
        <v/>
      </c>
      <c r="G21" s="19">
        <f>STDEV(G17:G19)</f>
        <v/>
      </c>
      <c r="H21" s="19">
        <f>STDEV((H17-I$13)/I$13,(H18-I$13)/I$13,(H19-I$13)/I$13)</f>
        <v/>
      </c>
      <c r="I21" s="19">
        <f>STDEV(I17:I19)</f>
        <v/>
      </c>
      <c r="J21" s="19">
        <f>STDEV((J17-K$13)/K$13,(J18-K$13)/K$13,(J19-K$13)/K$13)</f>
        <v/>
      </c>
      <c r="K21" s="19">
        <f>STDEV(K17:K19)</f>
        <v/>
      </c>
    </row>
    <row r="23" ht="24" customHeight="1" s="21">
      <c r="B23" s="20" t="inlineStr">
        <is>
          <t>A280</t>
        </is>
      </c>
      <c r="D23" s="20" t="inlineStr">
        <is>
          <t>CH130</t>
        </is>
      </c>
      <c r="F23" s="20" t="inlineStr">
        <is>
          <t>D18512</t>
        </is>
      </c>
      <c r="H23" s="20" t="inlineStr">
        <is>
          <t>PR144</t>
        </is>
      </c>
      <c r="J23" s="20" t="inlineStr">
        <is>
          <t>U1060</t>
        </is>
      </c>
    </row>
    <row r="24" ht="13.5" customHeight="1" s="21">
      <c r="A24" s="28" t="inlineStr">
        <is>
          <t>Búsqueda Local</t>
        </is>
      </c>
      <c r="B24" s="13" t="inlineStr">
        <is>
          <t>Tamaño</t>
        </is>
      </c>
      <c r="C24" s="24" t="n">
        <v>280</v>
      </c>
      <c r="D24" s="13" t="inlineStr">
        <is>
          <t>Tamaño</t>
        </is>
      </c>
      <c r="E24" s="24" t="n">
        <v>130</v>
      </c>
      <c r="F24" s="13" t="inlineStr">
        <is>
          <t>Tamaño</t>
        </is>
      </c>
      <c r="G24" s="24" t="n">
        <v>18512</v>
      </c>
      <c r="H24" s="13" t="inlineStr">
        <is>
          <t>Tamaño</t>
        </is>
      </c>
      <c r="I24" s="24" t="n">
        <v>144</v>
      </c>
      <c r="J24" s="13" t="inlineStr">
        <is>
          <t>Tamaño</t>
        </is>
      </c>
      <c r="K24" s="24" t="n">
        <v>1060</v>
      </c>
    </row>
    <row r="25" ht="15" customHeight="1" s="21">
      <c r="A25" s="37" t="n"/>
      <c r="B25" s="22" t="inlineStr">
        <is>
          <t>Mínimo encontrado</t>
        </is>
      </c>
      <c r="C25" s="24" t="n">
        <v>2579</v>
      </c>
      <c r="D25" s="22" t="inlineStr">
        <is>
          <t>Mínimo encontrado</t>
        </is>
      </c>
      <c r="E25" s="24" t="n">
        <v>6110</v>
      </c>
      <c r="F25" s="22" t="inlineStr">
        <is>
          <t>Mínimo encontrado</t>
        </is>
      </c>
      <c r="G25" s="24" t="n">
        <v>645238</v>
      </c>
      <c r="H25" s="22" t="inlineStr">
        <is>
          <t>Mínimo encontrado</t>
        </is>
      </c>
      <c r="I25" s="24" t="n">
        <v>58537</v>
      </c>
      <c r="J25" s="22" t="inlineStr">
        <is>
          <t>Mínimo encontrado</t>
        </is>
      </c>
      <c r="K25" s="24" t="n">
        <v>224094</v>
      </c>
    </row>
    <row r="26">
      <c r="A26" s="37" t="n"/>
      <c r="B26" s="38" t="n"/>
      <c r="C26" s="38" t="n"/>
      <c r="D26" s="38" t="n"/>
      <c r="E26" s="38" t="n"/>
      <c r="F26" s="38" t="n"/>
      <c r="G26" s="38" t="n"/>
      <c r="H26" s="38" t="n"/>
      <c r="I26" s="38" t="n"/>
      <c r="J26" s="38" t="n"/>
      <c r="K26" s="38" t="n"/>
    </row>
    <row r="27" ht="16.5" customHeight="1" s="21">
      <c r="A27" s="37" t="n"/>
      <c r="B27" s="25" t="n"/>
      <c r="C27" s="39" t="n"/>
      <c r="D27" s="25" t="n"/>
      <c r="E27" s="39" t="n"/>
      <c r="F27" s="25" t="n"/>
      <c r="G27" s="39" t="n"/>
      <c r="H27" s="25" t="n"/>
      <c r="I27" s="39" t="n"/>
      <c r="J27" s="25" t="n"/>
      <c r="K27" s="39" t="n"/>
    </row>
    <row r="28" ht="17" customHeight="1" s="21">
      <c r="A28" s="38" t="n"/>
      <c r="B28" s="16" t="inlineStr">
        <is>
          <t>Sol</t>
        </is>
      </c>
      <c r="C28" s="25" t="inlineStr">
        <is>
          <t>Time</t>
        </is>
      </c>
      <c r="D28" s="16" t="inlineStr">
        <is>
          <t>Sol</t>
        </is>
      </c>
      <c r="E28" s="25" t="inlineStr">
        <is>
          <t>Time</t>
        </is>
      </c>
      <c r="F28" s="16" t="inlineStr">
        <is>
          <t>Sol</t>
        </is>
      </c>
      <c r="G28" s="25" t="inlineStr">
        <is>
          <t>Time</t>
        </is>
      </c>
      <c r="H28" s="16" t="inlineStr">
        <is>
          <t>Sol</t>
        </is>
      </c>
      <c r="I28" s="25" t="inlineStr">
        <is>
          <t>Time</t>
        </is>
      </c>
      <c r="J28" s="16" t="inlineStr">
        <is>
          <t>Sol</t>
        </is>
      </c>
      <c r="K28" s="25" t="inlineStr">
        <is>
          <t>Time</t>
        </is>
      </c>
    </row>
    <row r="29" ht="17" customHeight="1" s="21">
      <c r="A29" s="25" t="inlineStr">
        <is>
          <t>Ejecución 1</t>
        </is>
      </c>
      <c r="B29" s="17" t="n">
        <v>6444.26</v>
      </c>
      <c r="C29" s="17" t="n">
        <v>127.6349</v>
      </c>
      <c r="D29" s="17" t="n">
        <v>12238.21</v>
      </c>
      <c r="E29" s="17" t="n">
        <v>6.6525</v>
      </c>
      <c r="F29" s="17" t="n">
        <v>37875970.07</v>
      </c>
      <c r="G29" s="17" t="n">
        <v>237.6458</v>
      </c>
      <c r="H29" s="17" t="n">
        <v>169834.48</v>
      </c>
      <c r="I29" s="17" t="n">
        <v>4.8052</v>
      </c>
      <c r="J29" s="17" t="n">
        <v>1033783.8</v>
      </c>
      <c r="K29" s="17" t="n">
        <v>313.075</v>
      </c>
    </row>
    <row r="30" ht="17" customHeight="1" s="21">
      <c r="A30" s="25" t="inlineStr">
        <is>
          <t>Ejecución 2</t>
        </is>
      </c>
      <c r="B30" s="17" t="n">
        <v>7568.36</v>
      </c>
      <c r="C30" s="17" t="n">
        <v>70.7231</v>
      </c>
      <c r="D30" s="17" t="n">
        <v>11237.36</v>
      </c>
      <c r="E30" s="17" t="n">
        <v>7.4466</v>
      </c>
      <c r="F30" s="17" t="n">
        <v>37672567.17</v>
      </c>
      <c r="G30" s="17" t="n">
        <v>74.327</v>
      </c>
      <c r="H30" s="17" t="n">
        <v>183455.05</v>
      </c>
      <c r="I30" s="17" t="n">
        <v>4.5494</v>
      </c>
      <c r="J30" s="17" t="n">
        <v>1088946.2</v>
      </c>
      <c r="K30" s="17" t="n">
        <v>338.2202</v>
      </c>
    </row>
    <row r="31" ht="17" customHeight="1" s="21">
      <c r="A31" s="25" t="inlineStr">
        <is>
          <t>Ejecución 3</t>
        </is>
      </c>
      <c r="B31" s="17" t="n">
        <v>6749.93</v>
      </c>
      <c r="C31" s="17" t="n">
        <v>43.1057</v>
      </c>
      <c r="D31" s="17" t="n">
        <v>11690.79</v>
      </c>
      <c r="E31" s="17" t="n">
        <v>6.7485</v>
      </c>
      <c r="F31" s="17" t="n">
        <v>37980685.53</v>
      </c>
      <c r="G31" s="17" t="n">
        <v>63.4612</v>
      </c>
      <c r="H31" s="17" t="n">
        <v>175531.17</v>
      </c>
      <c r="I31" s="17" t="n">
        <v>4.5116</v>
      </c>
      <c r="J31" s="17" t="n">
        <v>1072583.02</v>
      </c>
      <c r="K31" s="17" t="n">
        <v>278.6819</v>
      </c>
    </row>
    <row r="32" ht="17" customHeight="1" s="21">
      <c r="A32" s="25" t="inlineStr">
        <is>
          <t>Media</t>
        </is>
      </c>
      <c r="B32" s="18">
        <f>AVERAGE((B29-C$25)/C$25,(B30-C$25)/C$25,(B31-C$25)/C$25)</f>
        <v/>
      </c>
      <c r="C32" s="19">
        <f>AVERAGE(C29:C31)</f>
        <v/>
      </c>
      <c r="D32" s="18">
        <f>AVERAGE((D29-E$25)/E$25,(D30-E$25)/E$25,(D31-E$25)/E$25)</f>
        <v/>
      </c>
      <c r="E32" s="19">
        <f>AVERAGE(E29:E31)</f>
        <v/>
      </c>
      <c r="F32" s="18">
        <f>AVERAGE((F29-G$25)/G$25,(F30-G$25)/G$25,(F31-G$25)/G$25)</f>
        <v/>
      </c>
      <c r="G32" s="19">
        <f>AVERAGE(G29:G31)</f>
        <v/>
      </c>
      <c r="H32" s="18">
        <f>AVERAGE((H29-I$25)/I$25,(H30-I$25)/I$25,(H31-I$25)/I$25)</f>
        <v/>
      </c>
      <c r="I32" s="19">
        <f>AVERAGE(I29:I31)</f>
        <v/>
      </c>
      <c r="J32" s="18">
        <f>AVERAGE((J29-K$25)/K$25,(J30-K$25)/K$25,(J31-K$25)/K$25)</f>
        <v/>
      </c>
      <c r="K32" s="19">
        <f>AVERAGE(K29:K31)</f>
        <v/>
      </c>
    </row>
    <row r="33" ht="17" customHeight="1" s="21">
      <c r="A33" s="25" t="inlineStr">
        <is>
          <t>Desv. típica</t>
        </is>
      </c>
      <c r="B33" s="19">
        <f>STDEV((B29-C$25)/C$25,(B30-C$25)/C$25,(B31-C$25)/C$25)</f>
        <v/>
      </c>
      <c r="C33" s="19">
        <f>STDEV(C29:C31)</f>
        <v/>
      </c>
      <c r="D33" s="19">
        <f>STDEV((D29-E$25)/E$25,(D30-E$25)/E$25,(D31-E$25)/E$25)</f>
        <v/>
      </c>
      <c r="E33" s="19">
        <f>STDEV(E29:E31)</f>
        <v/>
      </c>
      <c r="F33" s="19">
        <f>STDEV((F29-G$25)/G$25,(F30-G$25)/G$25,(F31-G$25)/G$25)</f>
        <v/>
      </c>
      <c r="G33" s="19">
        <f>STDEV(G29:G31)</f>
        <v/>
      </c>
      <c r="H33" s="19">
        <f>STDEV((H29-I$25)/I$25,(H30-I$25)/I$25,(H31-I$25)/I$25)</f>
        <v/>
      </c>
      <c r="I33" s="19">
        <f>STDEV(I29:I31)</f>
        <v/>
      </c>
      <c r="J33" s="19">
        <f>STDEV((J29-K$25)/K$25,(J30-K$25)/K$25,(J31-K$25)/K$25)</f>
        <v/>
      </c>
      <c r="K33" s="19">
        <f>STDEV(K29:K31)</f>
        <v/>
      </c>
    </row>
    <row r="35" ht="24" customHeight="1" s="21">
      <c r="B35" s="20" t="inlineStr">
        <is>
          <t>A280</t>
        </is>
      </c>
      <c r="D35" s="20" t="inlineStr">
        <is>
          <t>CH130</t>
        </is>
      </c>
      <c r="F35" s="20" t="inlineStr">
        <is>
          <t>D18512</t>
        </is>
      </c>
      <c r="H35" s="20" t="inlineStr">
        <is>
          <t>PR144</t>
        </is>
      </c>
      <c r="J35" s="20" t="inlineStr">
        <is>
          <t>U1060</t>
        </is>
      </c>
    </row>
    <row r="36" ht="13.5" customHeight="1" s="21">
      <c r="A36" s="28" t="inlineStr">
        <is>
          <t>Búsqueda Tabú</t>
        </is>
      </c>
      <c r="B36" s="13" t="inlineStr">
        <is>
          <t>Tamaño</t>
        </is>
      </c>
      <c r="C36" s="24" t="n">
        <v>280</v>
      </c>
      <c r="D36" s="13" t="inlineStr">
        <is>
          <t>Tamaño</t>
        </is>
      </c>
      <c r="E36" s="24" t="n">
        <v>130</v>
      </c>
      <c r="F36" s="13" t="inlineStr">
        <is>
          <t>Tamaño</t>
        </is>
      </c>
      <c r="G36" s="24" t="n">
        <v>18512</v>
      </c>
      <c r="H36" s="13" t="inlineStr">
        <is>
          <t>Tamaño</t>
        </is>
      </c>
      <c r="I36" s="24" t="n">
        <v>144</v>
      </c>
      <c r="J36" s="13" t="inlineStr">
        <is>
          <t>Tamaño</t>
        </is>
      </c>
      <c r="K36" s="24" t="n">
        <v>1060</v>
      </c>
    </row>
    <row r="37" ht="15" customHeight="1" s="21">
      <c r="A37" s="37" t="n"/>
      <c r="B37" s="22" t="inlineStr">
        <is>
          <t>Mínimo encontrado</t>
        </is>
      </c>
      <c r="C37" s="24" t="n">
        <v>2579</v>
      </c>
      <c r="D37" s="22" t="inlineStr">
        <is>
          <t>Mínimo encontrado</t>
        </is>
      </c>
      <c r="E37" s="24" t="n">
        <v>6110</v>
      </c>
      <c r="F37" s="22" t="inlineStr">
        <is>
          <t>Mínimo encontrado</t>
        </is>
      </c>
      <c r="G37" s="24" t="n">
        <v>645238</v>
      </c>
      <c r="H37" s="22" t="inlineStr">
        <is>
          <t>Mínimo encontrado</t>
        </is>
      </c>
      <c r="I37" s="24" t="n">
        <v>58537</v>
      </c>
      <c r="J37" s="22" t="inlineStr">
        <is>
          <t>Mínimo encontrado</t>
        </is>
      </c>
      <c r="K37" s="24" t="n">
        <v>224094</v>
      </c>
    </row>
    <row r="38">
      <c r="A38" s="37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</row>
    <row r="39" ht="16.5" customHeight="1" s="21">
      <c r="A39" s="37" t="n"/>
      <c r="B39" s="25" t="n"/>
      <c r="C39" s="39" t="n"/>
      <c r="D39" s="25" t="n"/>
      <c r="E39" s="39" t="n"/>
      <c r="F39" s="25" t="n"/>
      <c r="G39" s="39" t="n"/>
      <c r="H39" s="25" t="n"/>
      <c r="I39" s="39" t="n"/>
      <c r="J39" s="25" t="n"/>
      <c r="K39" s="39" t="n"/>
    </row>
    <row r="40" ht="17" customHeight="1" s="21">
      <c r="A40" s="38" t="n"/>
      <c r="B40" s="16" t="inlineStr">
        <is>
          <t>Sol</t>
        </is>
      </c>
      <c r="C40" s="25" t="inlineStr">
        <is>
          <t>Time</t>
        </is>
      </c>
      <c r="D40" s="16" t="inlineStr">
        <is>
          <t>Sol</t>
        </is>
      </c>
      <c r="E40" s="25" t="inlineStr">
        <is>
          <t>Time</t>
        </is>
      </c>
      <c r="F40" s="16" t="inlineStr">
        <is>
          <t>Sol</t>
        </is>
      </c>
      <c r="G40" s="25" t="inlineStr">
        <is>
          <t>Time</t>
        </is>
      </c>
      <c r="H40" s="16" t="inlineStr">
        <is>
          <t>Sol</t>
        </is>
      </c>
      <c r="I40" s="25" t="inlineStr">
        <is>
          <t>Time</t>
        </is>
      </c>
      <c r="J40" s="16" t="inlineStr">
        <is>
          <t>Sol</t>
        </is>
      </c>
      <c r="K40" s="25" t="inlineStr">
        <is>
          <t>Time</t>
        </is>
      </c>
    </row>
    <row r="41" ht="17" customHeight="1" s="21">
      <c r="A41" s="25" t="inlineStr">
        <is>
          <t>Ejecución 1</t>
        </is>
      </c>
      <c r="B41" s="17" t="n">
        <v>3302.57</v>
      </c>
      <c r="C41" s="17" t="n">
        <v>663.2771</v>
      </c>
      <c r="D41" s="17" t="n">
        <v>7339.62</v>
      </c>
      <c r="E41" s="17" t="n">
        <v>168.3963</v>
      </c>
      <c r="F41" s="17" t="n">
        <v>37875970.07</v>
      </c>
      <c r="G41" s="17" t="n">
        <v>7615.8686</v>
      </c>
      <c r="H41" s="17" t="n">
        <v>91463.99000000001</v>
      </c>
      <c r="I41" s="17" t="n">
        <v>89.51139999999999</v>
      </c>
      <c r="J41" s="17" t="n">
        <v>387611.71</v>
      </c>
      <c r="K41" s="17" t="n">
        <v>610.7814</v>
      </c>
    </row>
    <row r="42" ht="17" customHeight="1" s="21">
      <c r="A42" s="25" t="inlineStr">
        <is>
          <t>Ejecución 2</t>
        </is>
      </c>
      <c r="B42" s="17" t="n">
        <v>3827.52</v>
      </c>
      <c r="C42" s="17" t="n">
        <v>466.395</v>
      </c>
      <c r="D42" s="17" t="n">
        <v>7567.95</v>
      </c>
      <c r="E42" s="17" t="n">
        <v>145.3812</v>
      </c>
      <c r="F42" s="17" t="n">
        <v>37672567.17</v>
      </c>
      <c r="G42" s="17" t="n">
        <v>7335.2544</v>
      </c>
      <c r="H42" s="17" t="n">
        <v>88052.31</v>
      </c>
      <c r="I42" s="17" t="n">
        <v>86.89790000000001</v>
      </c>
      <c r="J42" s="17" t="n">
        <v>607034.29</v>
      </c>
      <c r="K42" s="17" t="n">
        <v>662.5084000000001</v>
      </c>
    </row>
    <row r="43" ht="17" customHeight="1" s="21">
      <c r="A43" s="25" t="inlineStr">
        <is>
          <t>Ejecución 3</t>
        </is>
      </c>
      <c r="B43" s="17" t="n">
        <v>3491.32</v>
      </c>
      <c r="C43" s="17" t="n">
        <v>450.5331</v>
      </c>
      <c r="D43" s="17" t="n">
        <v>7228.37</v>
      </c>
      <c r="E43" s="17" t="n">
        <v>137.3029</v>
      </c>
      <c r="F43" s="17" t="n">
        <v>37980685.53</v>
      </c>
      <c r="G43" s="17" t="n">
        <v>7861.2384</v>
      </c>
      <c r="H43" s="17" t="n">
        <v>86931.44</v>
      </c>
      <c r="I43" s="17" t="n">
        <v>84.8643</v>
      </c>
      <c r="J43" s="17" t="n">
        <v>617524.99</v>
      </c>
      <c r="K43" s="17" t="n">
        <v>587.7116</v>
      </c>
    </row>
    <row r="44" ht="17" customHeight="1" s="21">
      <c r="A44" s="25" t="inlineStr">
        <is>
          <t>Media</t>
        </is>
      </c>
      <c r="B44" s="18">
        <f>AVERAGE((B41-C$37)/C$37,(B42-C$37)/C$37,(B43-C$37)/C$37)</f>
        <v/>
      </c>
      <c r="C44" s="19">
        <f>AVERAGE(C41:C43)</f>
        <v/>
      </c>
      <c r="D44" s="18">
        <f>AVERAGE((D41-E$37)/E$37,(D42-E$37)/E$37,(D43-E$37)/E$37)</f>
        <v/>
      </c>
      <c r="E44" s="19">
        <f>AVERAGE(E41:E43)</f>
        <v/>
      </c>
      <c r="F44" s="18">
        <f>AVERAGE((F41-G$37)/G$37,(F42-G$37)/G$37,(F43-G$37)/G$37)</f>
        <v/>
      </c>
      <c r="G44" s="19">
        <f>AVERAGE(G41:G43)</f>
        <v/>
      </c>
      <c r="H44" s="18">
        <f>AVERAGE((H41-I$37)/I$37,(H42-I$37)/I$37,(H43-I$37)/I$37)</f>
        <v/>
      </c>
      <c r="I44" s="19">
        <f>AVERAGE(I41:I43)</f>
        <v/>
      </c>
      <c r="J44" s="18">
        <f>AVERAGE((J41-K$37)/K$37,(J42-K$37)/K$37,(J43-K$37)/K$37)</f>
        <v/>
      </c>
      <c r="K44" s="19">
        <f>AVERAGE(K41:K43)</f>
        <v/>
      </c>
    </row>
    <row r="45" ht="17" customHeight="1" s="21">
      <c r="A45" s="25" t="inlineStr">
        <is>
          <t>Desv. típica</t>
        </is>
      </c>
      <c r="B45" s="19">
        <f>STDEV((B41-C$37)/C$37,(B42-C$37)/C$37,(B43-C$37)/C$37)</f>
        <v/>
      </c>
      <c r="C45" s="19">
        <f>STDEV(C41:C43)</f>
        <v/>
      </c>
      <c r="D45" s="19">
        <f>STDEV((D41-E$37)/E$37,(D42-E$37)/E$37,(D43-E$37)/E$37)</f>
        <v/>
      </c>
      <c r="E45" s="19">
        <f>STDEV(E41:E43)</f>
        <v/>
      </c>
      <c r="F45" s="19">
        <f>STDEV((F41-G$37)/G$37,(F42-G$37)/G$37,(F43-G$37)/G$37)</f>
        <v/>
      </c>
      <c r="G45" s="19">
        <f>STDEV(G41:G43)</f>
        <v/>
      </c>
      <c r="H45" s="19">
        <f>STDEV((H41-I$37)/I$37,(H42-I$37)/I$37,(H43-I$37)/I$37)</f>
        <v/>
      </c>
      <c r="I45" s="19">
        <f>STDEV(I41:I43)</f>
        <v/>
      </c>
      <c r="J45" s="19">
        <f>STDEV((J41-K$37)/K$37,(J42-K$37)/K$37,(J43-K$37)/K$37)</f>
        <v/>
      </c>
      <c r="K45" s="19">
        <f>STDEV(K41:K43)</f>
        <v/>
      </c>
    </row>
    <row r="48" ht="15" customHeight="1" s="21">
      <c r="A48" s="40" t="n"/>
      <c r="B48" s="41" t="inlineStr">
        <is>
          <t>A280</t>
        </is>
      </c>
      <c r="C48" s="42" t="n"/>
      <c r="D48" s="26" t="inlineStr">
        <is>
          <t>CH130</t>
        </is>
      </c>
      <c r="E48" s="43" t="n"/>
      <c r="F48" s="44" t="inlineStr">
        <is>
          <t>D18512</t>
        </is>
      </c>
      <c r="G48" s="42" t="n"/>
      <c r="H48" s="26" t="inlineStr">
        <is>
          <t>PR144</t>
        </is>
      </c>
      <c r="I48" s="43" t="n"/>
      <c r="J48" s="26" t="inlineStr">
        <is>
          <t>U1060</t>
        </is>
      </c>
      <c r="K48" s="43" t="n"/>
      <c r="L48" s="45" t="inlineStr">
        <is>
          <t>MEDIA</t>
        </is>
      </c>
      <c r="M48" s="46" t="n"/>
    </row>
    <row r="49" ht="15.75" customHeight="1" s="21">
      <c r="A49" s="47" t="n"/>
      <c r="B49" s="48" t="inlineStr">
        <is>
          <t>Desv</t>
        </is>
      </c>
      <c r="C49" s="1" t="inlineStr">
        <is>
          <t>Time</t>
        </is>
      </c>
      <c r="D49" s="48" t="inlineStr">
        <is>
          <t>Desv</t>
        </is>
      </c>
      <c r="E49" s="2" t="inlineStr">
        <is>
          <t>Time</t>
        </is>
      </c>
      <c r="F49" s="48" t="inlineStr">
        <is>
          <t>Desv</t>
        </is>
      </c>
      <c r="G49" s="1" t="inlineStr">
        <is>
          <t>Time</t>
        </is>
      </c>
      <c r="H49" s="48" t="inlineStr">
        <is>
          <t>Desv</t>
        </is>
      </c>
      <c r="I49" s="2" t="inlineStr">
        <is>
          <t>Time</t>
        </is>
      </c>
      <c r="J49" s="48" t="inlineStr">
        <is>
          <t>Desv</t>
        </is>
      </c>
      <c r="K49" s="2" t="inlineStr">
        <is>
          <t>Time</t>
        </is>
      </c>
      <c r="L49" s="5" t="inlineStr">
        <is>
          <t>C</t>
        </is>
      </c>
      <c r="M49" s="6" t="inlineStr">
        <is>
          <t>Time</t>
        </is>
      </c>
    </row>
    <row r="50" ht="15.75" customHeight="1" s="21">
      <c r="A50" s="7" t="inlineStr">
        <is>
          <t>Greedy</t>
        </is>
      </c>
      <c r="B50" s="49">
        <f>B8</f>
        <v/>
      </c>
      <c r="C50" s="3">
        <f>C8</f>
        <v/>
      </c>
      <c r="D50" s="49">
        <f>D8</f>
        <v/>
      </c>
      <c r="E50" s="3">
        <f>E8</f>
        <v/>
      </c>
      <c r="F50" s="49">
        <f>F8</f>
        <v/>
      </c>
      <c r="G50" s="3">
        <f>G8</f>
        <v/>
      </c>
      <c r="H50" s="49">
        <f>H8</f>
        <v/>
      </c>
      <c r="I50" s="3">
        <f>I8</f>
        <v/>
      </c>
      <c r="J50" s="49">
        <f>J8</f>
        <v/>
      </c>
      <c r="K50" s="3">
        <f>K8</f>
        <v/>
      </c>
      <c r="L50" s="50">
        <f>AVERAGE(B50,D50,F50,H50,J50)</f>
        <v/>
      </c>
      <c r="M50" s="8">
        <f>AVERAGE(C50,E50,G50,I50,K50)</f>
        <v/>
      </c>
    </row>
    <row r="51" ht="15.75" customHeight="1" s="21">
      <c r="A51" s="36" t="inlineStr">
        <is>
          <t>Greedy Aleatorio</t>
        </is>
      </c>
      <c r="B51" s="49">
        <f>B20</f>
        <v/>
      </c>
      <c r="C51" s="3">
        <f>C20</f>
        <v/>
      </c>
      <c r="D51" s="49">
        <f>D20</f>
        <v/>
      </c>
      <c r="E51" s="3">
        <f>E20</f>
        <v/>
      </c>
      <c r="F51" s="49">
        <f>F20</f>
        <v/>
      </c>
      <c r="G51" s="3">
        <f>G20</f>
        <v/>
      </c>
      <c r="H51" s="49">
        <f>H20</f>
        <v/>
      </c>
      <c r="I51" s="3">
        <f>I20</f>
        <v/>
      </c>
      <c r="J51" s="49">
        <f>J20</f>
        <v/>
      </c>
      <c r="K51" s="3">
        <f>K20</f>
        <v/>
      </c>
      <c r="L51" s="50">
        <f>AVERAGE(B51,D51,F51,H51,J51)</f>
        <v/>
      </c>
      <c r="M51" s="8">
        <f>AVERAGE(C51,E51,G51,I51,K51)</f>
        <v/>
      </c>
    </row>
    <row r="52" ht="15.75" customHeight="1" s="21">
      <c r="A52" s="36" t="inlineStr">
        <is>
          <t>Búsqueda Local</t>
        </is>
      </c>
      <c r="B52" s="49">
        <f>B32</f>
        <v/>
      </c>
      <c r="C52" s="3">
        <f>C32</f>
        <v/>
      </c>
      <c r="D52" s="49">
        <f>D32</f>
        <v/>
      </c>
      <c r="E52" s="3">
        <f>E32</f>
        <v/>
      </c>
      <c r="F52" s="49">
        <f>F32</f>
        <v/>
      </c>
      <c r="G52" s="3">
        <f>G32</f>
        <v/>
      </c>
      <c r="H52" s="49">
        <f>H32</f>
        <v/>
      </c>
      <c r="I52" s="3">
        <f>I32</f>
        <v/>
      </c>
      <c r="J52" s="49">
        <f>J32</f>
        <v/>
      </c>
      <c r="K52" s="3">
        <f>K32</f>
        <v/>
      </c>
      <c r="L52" s="50">
        <f>AVERAGE(B52,D52,F52,H52,J52)</f>
        <v/>
      </c>
      <c r="M52" s="8">
        <f>AVERAGE(C52,E52,G52,I52,K52)</f>
        <v/>
      </c>
    </row>
    <row r="53" ht="15.75" customHeight="1" s="21">
      <c r="A53" s="10" t="inlineStr">
        <is>
          <t>TABU</t>
        </is>
      </c>
      <c r="B53" s="51">
        <f>B44</f>
        <v/>
      </c>
      <c r="C53" s="11">
        <f>C44</f>
        <v/>
      </c>
      <c r="D53" s="51">
        <f>D44</f>
        <v/>
      </c>
      <c r="E53" s="11">
        <f>E44</f>
        <v/>
      </c>
      <c r="F53" s="51">
        <f>F44</f>
        <v/>
      </c>
      <c r="G53" s="11">
        <f>G44</f>
        <v/>
      </c>
      <c r="H53" s="51">
        <f>H44</f>
        <v/>
      </c>
      <c r="I53" s="11">
        <f>I44</f>
        <v/>
      </c>
      <c r="J53" s="51">
        <f>J44</f>
        <v/>
      </c>
      <c r="K53" s="11">
        <f>K44</f>
        <v/>
      </c>
      <c r="L53" s="50">
        <f>AVERAGE(B53,D53,F53,H53,J53)</f>
        <v/>
      </c>
      <c r="M53" s="9">
        <f>AVERAGE(C53,E53,G53,I53,K53)</f>
        <v/>
      </c>
    </row>
    <row r="54" ht="15.75" customHeight="1" s="21">
      <c r="A54" s="10" t="inlineStr">
        <is>
          <t>MA</t>
        </is>
      </c>
      <c r="B54" s="51" t="n"/>
      <c r="C54" s="11" t="n"/>
      <c r="D54" s="51" t="n"/>
      <c r="E54" s="11" t="n"/>
      <c r="F54" s="51" t="n"/>
      <c r="G54" s="11" t="n"/>
      <c r="H54" s="51" t="n"/>
      <c r="I54" s="11" t="n"/>
      <c r="J54" s="51" t="n"/>
      <c r="K54" s="11" t="n"/>
      <c r="L54" s="50" t="n"/>
      <c r="M54" s="9" t="n"/>
    </row>
    <row r="56">
      <c r="A56" s="52" t="inlineStr">
        <is>
          <t>Desv = media de (Sol − mínimo conocido) / mínimo conocido. Time en ms. Fuente: ficheros de registro de Practica-1/logs.</t>
        </is>
      </c>
    </row>
  </sheetData>
  <mergeCells count="91">
    <mergeCell ref="H35:I35"/>
    <mergeCell ref="F3:F4"/>
    <mergeCell ref="H39:I39"/>
    <mergeCell ref="F15:G15"/>
    <mergeCell ref="B13:B14"/>
    <mergeCell ref="G3:G4"/>
    <mergeCell ref="D13:D14"/>
    <mergeCell ref="I3:I4"/>
    <mergeCell ref="B1:C1"/>
    <mergeCell ref="D48:E48"/>
    <mergeCell ref="B37:B38"/>
    <mergeCell ref="F13:F14"/>
    <mergeCell ref="H13:H14"/>
    <mergeCell ref="A24:A28"/>
    <mergeCell ref="F23:G23"/>
    <mergeCell ref="F37:F38"/>
    <mergeCell ref="H37:H38"/>
    <mergeCell ref="E25:E26"/>
    <mergeCell ref="H15:I15"/>
    <mergeCell ref="B25:B26"/>
    <mergeCell ref="H23:I23"/>
    <mergeCell ref="K37:K38"/>
    <mergeCell ref="J23:K23"/>
    <mergeCell ref="B35:C35"/>
    <mergeCell ref="D35:E35"/>
    <mergeCell ref="A48:A49"/>
    <mergeCell ref="B3:B4"/>
    <mergeCell ref="E13:E14"/>
    <mergeCell ref="H1:I1"/>
    <mergeCell ref="A2:A6"/>
    <mergeCell ref="G13:G14"/>
    <mergeCell ref="J1:K1"/>
    <mergeCell ref="B27:C27"/>
    <mergeCell ref="B11:C11"/>
    <mergeCell ref="D11:E11"/>
    <mergeCell ref="F5:G5"/>
    <mergeCell ref="D3:D4"/>
    <mergeCell ref="J27:K27"/>
    <mergeCell ref="H11:I11"/>
    <mergeCell ref="J11:K11"/>
    <mergeCell ref="J25:J26"/>
    <mergeCell ref="D25:D26"/>
    <mergeCell ref="D37:D38"/>
    <mergeCell ref="G25:G26"/>
    <mergeCell ref="D39:E39"/>
    <mergeCell ref="F39:G39"/>
    <mergeCell ref="B15:C15"/>
    <mergeCell ref="F48:G48"/>
    <mergeCell ref="K3:K4"/>
    <mergeCell ref="D15:E15"/>
    <mergeCell ref="H48:I48"/>
    <mergeCell ref="C3:C4"/>
    <mergeCell ref="E3:E4"/>
    <mergeCell ref="D23:E23"/>
    <mergeCell ref="H5:I5"/>
    <mergeCell ref="J48:K48"/>
    <mergeCell ref="L48:M48"/>
    <mergeCell ref="D1:E1"/>
    <mergeCell ref="D27:E27"/>
    <mergeCell ref="G37:G38"/>
    <mergeCell ref="I37:I38"/>
    <mergeCell ref="J35:K35"/>
    <mergeCell ref="H3:H4"/>
    <mergeCell ref="J3:J4"/>
    <mergeCell ref="A36:A40"/>
    <mergeCell ref="B5:C5"/>
    <mergeCell ref="D5:E5"/>
    <mergeCell ref="F1:G1"/>
    <mergeCell ref="J39:K39"/>
    <mergeCell ref="A12:A16"/>
    <mergeCell ref="J13:J14"/>
    <mergeCell ref="F11:G11"/>
    <mergeCell ref="J5:K5"/>
    <mergeCell ref="F25:F26"/>
    <mergeCell ref="J37:J38"/>
    <mergeCell ref="B39:C39"/>
    <mergeCell ref="B48:C48"/>
    <mergeCell ref="I25:I26"/>
    <mergeCell ref="J15:K15"/>
    <mergeCell ref="C25:C26"/>
    <mergeCell ref="B23:C23"/>
    <mergeCell ref="F35:G35"/>
    <mergeCell ref="I13:I14"/>
    <mergeCell ref="K13:K14"/>
    <mergeCell ref="F27:G27"/>
    <mergeCell ref="H27:I27"/>
    <mergeCell ref="C13:C14"/>
    <mergeCell ref="K25:K26"/>
    <mergeCell ref="C37:C38"/>
    <mergeCell ref="E37:E38"/>
    <mergeCell ref="H25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ocordon</dc:creator>
  <dcterms:created xsi:type="dcterms:W3CDTF">2013-03-05T10:35:34Z</dcterms:created>
  <dcterms:modified xsi:type="dcterms:W3CDTF">2026-10-22T10:37:38Z</dcterms:modified>
  <cp:lastModifiedBy>Cristóbal J. Carmona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15.0300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